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e\Minecraft\mods\StockMarket\MC_1.20.1_StockMarket\documentation\images\"/>
    </mc:Choice>
  </mc:AlternateContent>
  <xr:revisionPtr revIDLastSave="0" documentId="13_ncr:1_{6C1D0756-7FFD-4E42-AEC0-733CBACA068D}" xr6:coauthVersionLast="47" xr6:coauthVersionMax="47" xr10:uidLastSave="{00000000-0000-0000-0000-000000000000}"/>
  <bookViews>
    <workbookView minimized="1" xWindow="41400" yWindow="9270" windowWidth="24375" windowHeight="11160" xr2:uid="{8C28FF7D-EFDF-481B-87CE-C7A9ADAE2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G4" i="1" s="1"/>
  <c r="H4" i="1" s="1"/>
  <c r="I4" i="1" s="1"/>
  <c r="E5" i="1"/>
  <c r="G5" i="1" s="1"/>
  <c r="E6" i="1"/>
  <c r="G6" i="1" s="1"/>
  <c r="E7" i="1"/>
  <c r="G7" i="1" s="1"/>
  <c r="H7" i="1" s="1"/>
  <c r="I7" i="1" s="1"/>
  <c r="E8" i="1"/>
  <c r="G8" i="1" s="1"/>
  <c r="H8" i="1" s="1"/>
  <c r="I8" i="1" s="1"/>
  <c r="E9" i="1"/>
  <c r="G9" i="1" s="1"/>
  <c r="E10" i="1"/>
  <c r="E11" i="1"/>
  <c r="G11" i="1" s="1"/>
  <c r="H11" i="1" s="1"/>
  <c r="I11" i="1" s="1"/>
  <c r="E12" i="1"/>
  <c r="E13" i="1"/>
  <c r="E14" i="1"/>
  <c r="G14" i="1" s="1"/>
  <c r="E15" i="1"/>
  <c r="E16" i="1"/>
  <c r="G16" i="1" s="1"/>
  <c r="H16" i="1" s="1"/>
  <c r="I16" i="1" s="1"/>
  <c r="E17" i="1"/>
  <c r="G17" i="1" s="1"/>
  <c r="H17" i="1" s="1"/>
  <c r="I17" i="1" s="1"/>
  <c r="E18" i="1"/>
  <c r="E19" i="1"/>
  <c r="G19" i="1" s="1"/>
  <c r="E20" i="1"/>
  <c r="G20" i="1" s="1"/>
  <c r="E21" i="1"/>
  <c r="G21" i="1" s="1"/>
  <c r="E22" i="1"/>
  <c r="G22" i="1" s="1"/>
  <c r="E23" i="1"/>
  <c r="G23" i="1" s="1"/>
  <c r="H23" i="1" s="1"/>
  <c r="I23" i="1" s="1"/>
  <c r="E3" i="1"/>
  <c r="G3" i="1" s="1"/>
  <c r="H3" i="1" s="1"/>
  <c r="I3" i="1" s="1"/>
  <c r="H22" i="1" l="1"/>
  <c r="I22" i="1" s="1"/>
  <c r="G18" i="1"/>
  <c r="H18" i="1" s="1"/>
  <c r="I18" i="1" s="1"/>
  <c r="G10" i="1"/>
  <c r="H10" i="1" s="1"/>
  <c r="I10" i="1" s="1"/>
  <c r="G15" i="1"/>
  <c r="H15" i="1" s="1"/>
  <c r="I15" i="1" s="1"/>
  <c r="H21" i="1"/>
  <c r="I21" i="1" s="1"/>
  <c r="H14" i="1"/>
  <c r="I14" i="1" s="1"/>
  <c r="H6" i="1"/>
  <c r="I6" i="1" s="1"/>
  <c r="H9" i="1"/>
  <c r="I9" i="1" s="1"/>
  <c r="H20" i="1"/>
  <c r="I20" i="1" s="1"/>
  <c r="H19" i="1"/>
  <c r="I19" i="1" s="1"/>
  <c r="H5" i="1"/>
  <c r="I5" i="1" s="1"/>
  <c r="G13" i="1"/>
  <c r="H13" i="1" s="1"/>
  <c r="I13" i="1" s="1"/>
  <c r="G12" i="1"/>
  <c r="H12" i="1" s="1"/>
  <c r="I12" i="1" s="1"/>
</calcChain>
</file>

<file path=xl/sharedStrings.xml><?xml version="1.0" encoding="utf-8"?>
<sst xmlns="http://schemas.openxmlformats.org/spreadsheetml/2006/main" count="7" uniqueCount="6">
  <si>
    <t>scale</t>
  </si>
  <si>
    <t>imbalance</t>
  </si>
  <si>
    <t>TargetPrice</t>
  </si>
  <si>
    <t>x</t>
  </si>
  <si>
    <t>steeringFac</t>
  </si>
  <si>
    <t>targetPrice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</si>
</sst>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TargetPrice</a:t>
            </a:r>
            <a:r>
              <a:rPr lang="en-US" baseline="0"/>
              <a:t> vs Item Imbalance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targetPrice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Sheet1!$E$3:$E$23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Sheet1!$I$3:$I$23</c:f>
              <c:numCache>
                <c:formatCode>General</c:formatCode>
                <c:ptCount val="21"/>
                <c:pt idx="0">
                  <c:v>200</c:v>
                </c:pt>
                <c:pt idx="1">
                  <c:v>185</c:v>
                </c:pt>
                <c:pt idx="2">
                  <c:v>170</c:v>
                </c:pt>
                <c:pt idx="3">
                  <c:v>155</c:v>
                </c:pt>
                <c:pt idx="4">
                  <c:v>140</c:v>
                </c:pt>
                <c:pt idx="5">
                  <c:v>125</c:v>
                </c:pt>
                <c:pt idx="6">
                  <c:v>110.00000000000001</c:v>
                </c:pt>
                <c:pt idx="7">
                  <c:v>95</c:v>
                </c:pt>
                <c:pt idx="8">
                  <c:v>80</c:v>
                </c:pt>
                <c:pt idx="9">
                  <c:v>65</c:v>
                </c:pt>
                <c:pt idx="10">
                  <c:v>50</c:v>
                </c:pt>
                <c:pt idx="11">
                  <c:v>37.040911034085894</c:v>
                </c:pt>
                <c:pt idx="12">
                  <c:v>27.440581804701321</c:v>
                </c:pt>
                <c:pt idx="13">
                  <c:v>20.328482987029957</c:v>
                </c:pt>
                <c:pt idx="14">
                  <c:v>15.059710595610106</c:v>
                </c:pt>
                <c:pt idx="15">
                  <c:v>11.156508007421492</c:v>
                </c:pt>
                <c:pt idx="16">
                  <c:v>8.2649444110793286</c:v>
                </c:pt>
                <c:pt idx="17">
                  <c:v>6.1228214126490954</c:v>
                </c:pt>
                <c:pt idx="18">
                  <c:v>4.5358976644706255</c:v>
                </c:pt>
                <c:pt idx="19">
                  <c:v>3.3602756369874891</c:v>
                </c:pt>
                <c:pt idx="20">
                  <c:v>2.4893534183931973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17-47FD-9853-9F54ABC97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6297951"/>
        <c:axId val="1106298431"/>
      </c:lineChart>
      <c:catAx>
        <c:axId val="1106297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Item Imbalance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98431"/>
        <c:crosses val="autoZero"/>
        <c:auto val="1"/>
        <c:lblAlgn val="ctr"/>
        <c:lblOffset val="100"/>
        <c:noMultiLvlLbl val="0"/>
      </c:catAx>
      <c:valAx>
        <c:axId val="110629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Target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9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28574</xdr:colOff>
      <xdr:row>0</xdr:row>
      <xdr:rowOff>76200</xdr:rowOff>
    </xdr:from>
    <xdr:to>
      <xdr:col>18</xdr:col>
      <xdr:colOff>438149</xdr:colOff>
      <xdr:row>23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620DD-8B5B-A5FC-70A6-CB48164F8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448701</xdr:colOff>
      <xdr:row>17</xdr:row>
      <xdr:rowOff>61839</xdr:rowOff>
    </xdr:from>
    <xdr:to>
      <xdr:col>14</xdr:col>
      <xdr:colOff>468923</xdr:colOff>
      <xdr:row>21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7B959E7-8AF3-2FE5-B9E1-E8A6D9D1EFF0}"/>
            </a:ext>
          </a:extLst>
        </xdr:cNvPr>
        <xdr:cNvCxnSpPr/>
      </xdr:nvCxnSpPr>
      <xdr:spPr>
        <a:xfrm flipH="1" flipV="1">
          <a:off x="9153086" y="3300339"/>
          <a:ext cx="20222" cy="700161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65942</xdr:colOff>
      <xdr:row>17</xdr:row>
      <xdr:rowOff>69459</xdr:rowOff>
    </xdr:from>
    <xdr:to>
      <xdr:col>14</xdr:col>
      <xdr:colOff>452511</xdr:colOff>
      <xdr:row>17</xdr:row>
      <xdr:rowOff>80596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E2DF0DF-E55A-5DA3-84D8-C433AF03C013}"/>
            </a:ext>
          </a:extLst>
        </xdr:cNvPr>
        <xdr:cNvCxnSpPr/>
      </xdr:nvCxnSpPr>
      <xdr:spPr>
        <a:xfrm flipV="1">
          <a:off x="6945923" y="3307959"/>
          <a:ext cx="2210973" cy="11137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11</xdr:col>
      <xdr:colOff>87924</xdr:colOff>
      <xdr:row>16</xdr:row>
      <xdr:rowOff>58615</xdr:rowOff>
    </xdr:from>
    <xdr:ext cx="92224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534DEFB-C60A-6847-7ECF-DF2C2EA28FDC}"/>
            </a:ext>
          </a:extLst>
        </xdr:cNvPr>
        <xdr:cNvSpPr txBox="1"/>
      </xdr:nvSpPr>
      <xdr:spPr>
        <a:xfrm>
          <a:off x="6967905" y="3106615"/>
          <a:ext cx="9222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kern="1200"/>
            <a:t>Default Price</a:t>
          </a:r>
        </a:p>
      </xdr:txBody>
    </xdr:sp>
    <xdr:clientData/>
  </xdr:oneCellAnchor>
  <xdr:oneCellAnchor>
    <xdr:from>
      <xdr:col>11</xdr:col>
      <xdr:colOff>27214</xdr:colOff>
      <xdr:row>3</xdr:row>
      <xdr:rowOff>173751</xdr:rowOff>
    </xdr:from>
    <xdr:ext cx="4539343" cy="23320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E1646B9-E6D0-A43F-EBD6-C6D4DCDCDF79}"/>
            </a:ext>
          </a:extLst>
        </xdr:cNvPr>
        <xdr:cNvSpPr txBox="1"/>
      </xdr:nvSpPr>
      <xdr:spPr>
        <a:xfrm>
          <a:off x="6923314" y="745251"/>
          <a:ext cx="453934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900" kern="1200">
              <a:solidFill>
                <a:schemeClr val="tx1"/>
              </a:solidFill>
            </a:rPr>
            <a:t>Players are buy and buy...</a:t>
          </a:r>
          <a:r>
            <a:rPr lang="en-GB" sz="900" kern="1200" baseline="0">
              <a:solidFill>
                <a:schemeClr val="tx1"/>
              </a:solidFill>
            </a:rPr>
            <a:t>                                                                </a:t>
          </a:r>
          <a:r>
            <a:rPr lang="en-GB" sz="900" kern="1200">
              <a:solidFill>
                <a:schemeClr val="tx1"/>
              </a:solidFill>
            </a:rPr>
            <a:t>Players are sell and sell...</a:t>
          </a:r>
        </a:p>
      </xdr:txBody>
    </xdr:sp>
    <xdr:clientData/>
  </xdr:oneCellAnchor>
  <xdr:twoCellAnchor>
    <xdr:from>
      <xdr:col>15</xdr:col>
      <xdr:colOff>506185</xdr:colOff>
      <xdr:row>5</xdr:row>
      <xdr:rowOff>10886</xdr:rowOff>
    </xdr:from>
    <xdr:to>
      <xdr:col>18</xdr:col>
      <xdr:colOff>206829</xdr:colOff>
      <xdr:row>5</xdr:row>
      <xdr:rowOff>16328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7C79F2B-5D33-2113-1EAA-450AA9FCFA08}"/>
            </a:ext>
          </a:extLst>
        </xdr:cNvPr>
        <xdr:cNvCxnSpPr/>
      </xdr:nvCxnSpPr>
      <xdr:spPr>
        <a:xfrm flipV="1">
          <a:off x="9840685" y="963386"/>
          <a:ext cx="1529444" cy="5442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81643</xdr:colOff>
      <xdr:row>5</xdr:row>
      <xdr:rowOff>8106</xdr:rowOff>
    </xdr:from>
    <xdr:to>
      <xdr:col>13</xdr:col>
      <xdr:colOff>178341</xdr:colOff>
      <xdr:row>5</xdr:row>
      <xdr:rowOff>21771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AE4F8A8-9548-4B5E-9373-5C76E039EF64}"/>
            </a:ext>
          </a:extLst>
        </xdr:cNvPr>
        <xdr:cNvCxnSpPr/>
      </xdr:nvCxnSpPr>
      <xdr:spPr>
        <a:xfrm flipH="1">
          <a:off x="6959909" y="960606"/>
          <a:ext cx="1312655" cy="1366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1AE8-DE31-4948-894B-905CB37B9656}">
  <dimension ref="A2:I23"/>
  <sheetViews>
    <sheetView tabSelected="1" zoomScale="145" zoomScaleNormal="145" workbookViewId="0">
      <selection activeCell="E2" sqref="E2"/>
    </sheetView>
  </sheetViews>
  <sheetFormatPr defaultRowHeight="15" x14ac:dyDescent="0.25"/>
  <cols>
    <col min="1" max="1" width="12" customWidth="1"/>
  </cols>
  <sheetData>
    <row r="2" spans="1:9" x14ac:dyDescent="0.25">
      <c r="A2" t="s">
        <v>2</v>
      </c>
      <c r="B2" t="s">
        <v>0</v>
      </c>
      <c r="C2" t="s">
        <v>4</v>
      </c>
      <c r="E2" t="s">
        <v>1</v>
      </c>
      <c r="G2" t="s">
        <v>3</v>
      </c>
      <c r="H2" t="s">
        <v>0</v>
      </c>
      <c r="I2" t="s">
        <v>5</v>
      </c>
    </row>
    <row r="3" spans="1:9" x14ac:dyDescent="0.25">
      <c r="A3">
        <v>50</v>
      </c>
      <c r="B3">
        <v>1</v>
      </c>
      <c r="C3">
        <v>0.3</v>
      </c>
      <c r="D3">
        <v>-10</v>
      </c>
      <c r="E3">
        <f>D3*$B$3</f>
        <v>-10</v>
      </c>
      <c r="G3">
        <f>E3*$C$3</f>
        <v>-3</v>
      </c>
      <c r="H3">
        <f>IF(E3&lt;0,-G3+1,EXP(-G3))</f>
        <v>4</v>
      </c>
      <c r="I3">
        <f>MAX($A$3*H3,0)</f>
        <v>200</v>
      </c>
    </row>
    <row r="4" spans="1:9" x14ac:dyDescent="0.25">
      <c r="D4">
        <v>-9</v>
      </c>
      <c r="E4">
        <f t="shared" ref="E4:E23" si="0">D4*$B$3</f>
        <v>-9</v>
      </c>
      <c r="G4">
        <f t="shared" ref="G4:G23" si="1">E4*$C$3</f>
        <v>-2.6999999999999997</v>
      </c>
      <c r="H4">
        <f t="shared" ref="H4:H23" si="2">IF(E4&lt;0,-G4+1,EXP(-G4))</f>
        <v>3.6999999999999997</v>
      </c>
      <c r="I4">
        <f t="shared" ref="I4:I23" si="3">MAX($A$3*H4,0)</f>
        <v>185</v>
      </c>
    </row>
    <row r="5" spans="1:9" x14ac:dyDescent="0.25">
      <c r="D5">
        <v>-8</v>
      </c>
      <c r="E5">
        <f t="shared" si="0"/>
        <v>-8</v>
      </c>
      <c r="G5">
        <f t="shared" si="1"/>
        <v>-2.4</v>
      </c>
      <c r="H5">
        <f t="shared" si="2"/>
        <v>3.4</v>
      </c>
      <c r="I5">
        <f t="shared" si="3"/>
        <v>170</v>
      </c>
    </row>
    <row r="6" spans="1:9" x14ac:dyDescent="0.25">
      <c r="D6">
        <v>-7</v>
      </c>
      <c r="E6">
        <f t="shared" si="0"/>
        <v>-7</v>
      </c>
      <c r="G6">
        <f t="shared" si="1"/>
        <v>-2.1</v>
      </c>
      <c r="H6">
        <f t="shared" si="2"/>
        <v>3.1</v>
      </c>
      <c r="I6">
        <f t="shared" si="3"/>
        <v>155</v>
      </c>
    </row>
    <row r="7" spans="1:9" x14ac:dyDescent="0.25">
      <c r="D7">
        <v>-6</v>
      </c>
      <c r="E7">
        <f t="shared" si="0"/>
        <v>-6</v>
      </c>
      <c r="G7">
        <f t="shared" si="1"/>
        <v>-1.7999999999999998</v>
      </c>
      <c r="H7">
        <f t="shared" si="2"/>
        <v>2.8</v>
      </c>
      <c r="I7">
        <f t="shared" si="3"/>
        <v>140</v>
      </c>
    </row>
    <row r="8" spans="1:9" x14ac:dyDescent="0.25">
      <c r="D8">
        <v>-5</v>
      </c>
      <c r="E8">
        <f t="shared" si="0"/>
        <v>-5</v>
      </c>
      <c r="G8">
        <f t="shared" si="1"/>
        <v>-1.5</v>
      </c>
      <c r="H8">
        <f t="shared" si="2"/>
        <v>2.5</v>
      </c>
      <c r="I8">
        <f t="shared" si="3"/>
        <v>125</v>
      </c>
    </row>
    <row r="9" spans="1:9" x14ac:dyDescent="0.25">
      <c r="D9">
        <v>-4</v>
      </c>
      <c r="E9">
        <f t="shared" si="0"/>
        <v>-4</v>
      </c>
      <c r="G9">
        <f t="shared" si="1"/>
        <v>-1.2</v>
      </c>
      <c r="H9">
        <f t="shared" si="2"/>
        <v>2.2000000000000002</v>
      </c>
      <c r="I9">
        <f t="shared" si="3"/>
        <v>110.00000000000001</v>
      </c>
    </row>
    <row r="10" spans="1:9" x14ac:dyDescent="0.25">
      <c r="D10">
        <v>-3</v>
      </c>
      <c r="E10">
        <f t="shared" si="0"/>
        <v>-3</v>
      </c>
      <c r="G10">
        <f t="shared" si="1"/>
        <v>-0.89999999999999991</v>
      </c>
      <c r="H10">
        <f t="shared" si="2"/>
        <v>1.9</v>
      </c>
      <c r="I10">
        <f t="shared" si="3"/>
        <v>95</v>
      </c>
    </row>
    <row r="11" spans="1:9" x14ac:dyDescent="0.25">
      <c r="D11">
        <v>-2</v>
      </c>
      <c r="E11">
        <f t="shared" si="0"/>
        <v>-2</v>
      </c>
      <c r="G11">
        <f t="shared" si="1"/>
        <v>-0.6</v>
      </c>
      <c r="H11">
        <f t="shared" si="2"/>
        <v>1.6</v>
      </c>
      <c r="I11">
        <f t="shared" si="3"/>
        <v>80</v>
      </c>
    </row>
    <row r="12" spans="1:9" x14ac:dyDescent="0.25">
      <c r="D12">
        <v>-1</v>
      </c>
      <c r="E12">
        <f t="shared" si="0"/>
        <v>-1</v>
      </c>
      <c r="G12">
        <f t="shared" si="1"/>
        <v>-0.3</v>
      </c>
      <c r="H12">
        <f t="shared" si="2"/>
        <v>1.3</v>
      </c>
      <c r="I12">
        <f t="shared" si="3"/>
        <v>65</v>
      </c>
    </row>
    <row r="13" spans="1:9" x14ac:dyDescent="0.25">
      <c r="D13">
        <v>0</v>
      </c>
      <c r="E13">
        <f t="shared" si="0"/>
        <v>0</v>
      </c>
      <c r="G13">
        <f t="shared" si="1"/>
        <v>0</v>
      </c>
      <c r="H13">
        <f t="shared" si="2"/>
        <v>1</v>
      </c>
      <c r="I13">
        <f t="shared" si="3"/>
        <v>50</v>
      </c>
    </row>
    <row r="14" spans="1:9" x14ac:dyDescent="0.25">
      <c r="D14">
        <v>1</v>
      </c>
      <c r="E14">
        <f t="shared" si="0"/>
        <v>1</v>
      </c>
      <c r="G14">
        <f t="shared" si="1"/>
        <v>0.3</v>
      </c>
      <c r="H14">
        <f t="shared" si="2"/>
        <v>0.74081822068171788</v>
      </c>
      <c r="I14">
        <f t="shared" si="3"/>
        <v>37.040911034085894</v>
      </c>
    </row>
    <row r="15" spans="1:9" x14ac:dyDescent="0.25">
      <c r="D15">
        <v>2</v>
      </c>
      <c r="E15">
        <f t="shared" si="0"/>
        <v>2</v>
      </c>
      <c r="G15">
        <f t="shared" si="1"/>
        <v>0.6</v>
      </c>
      <c r="H15">
        <f t="shared" si="2"/>
        <v>0.54881163609402639</v>
      </c>
      <c r="I15">
        <f t="shared" si="3"/>
        <v>27.440581804701321</v>
      </c>
    </row>
    <row r="16" spans="1:9" x14ac:dyDescent="0.25">
      <c r="D16">
        <v>3</v>
      </c>
      <c r="E16">
        <f t="shared" si="0"/>
        <v>3</v>
      </c>
      <c r="G16">
        <f t="shared" si="1"/>
        <v>0.89999999999999991</v>
      </c>
      <c r="H16">
        <f t="shared" si="2"/>
        <v>0.40656965974059917</v>
      </c>
      <c r="I16">
        <f t="shared" si="3"/>
        <v>20.328482987029957</v>
      </c>
    </row>
    <row r="17" spans="4:9" x14ac:dyDescent="0.25">
      <c r="D17">
        <v>4</v>
      </c>
      <c r="E17">
        <f t="shared" si="0"/>
        <v>4</v>
      </c>
      <c r="G17">
        <f t="shared" si="1"/>
        <v>1.2</v>
      </c>
      <c r="H17">
        <f t="shared" si="2"/>
        <v>0.30119421191220214</v>
      </c>
      <c r="I17">
        <f t="shared" si="3"/>
        <v>15.059710595610106</v>
      </c>
    </row>
    <row r="18" spans="4:9" x14ac:dyDescent="0.25">
      <c r="D18">
        <v>5</v>
      </c>
      <c r="E18">
        <f t="shared" si="0"/>
        <v>5</v>
      </c>
      <c r="G18">
        <f t="shared" si="1"/>
        <v>1.5</v>
      </c>
      <c r="H18">
        <f t="shared" si="2"/>
        <v>0.22313016014842982</v>
      </c>
      <c r="I18">
        <f t="shared" si="3"/>
        <v>11.156508007421492</v>
      </c>
    </row>
    <row r="19" spans="4:9" x14ac:dyDescent="0.25">
      <c r="D19">
        <v>6</v>
      </c>
      <c r="E19">
        <f t="shared" si="0"/>
        <v>6</v>
      </c>
      <c r="G19">
        <f t="shared" si="1"/>
        <v>1.7999999999999998</v>
      </c>
      <c r="H19">
        <f t="shared" si="2"/>
        <v>0.16529888822158656</v>
      </c>
      <c r="I19">
        <f t="shared" si="3"/>
        <v>8.2649444110793286</v>
      </c>
    </row>
    <row r="20" spans="4:9" x14ac:dyDescent="0.25">
      <c r="D20">
        <v>7</v>
      </c>
      <c r="E20">
        <f t="shared" si="0"/>
        <v>7</v>
      </c>
      <c r="G20">
        <f t="shared" si="1"/>
        <v>2.1</v>
      </c>
      <c r="H20">
        <f t="shared" si="2"/>
        <v>0.12245642825298191</v>
      </c>
      <c r="I20">
        <f t="shared" si="3"/>
        <v>6.1228214126490954</v>
      </c>
    </row>
    <row r="21" spans="4:9" x14ac:dyDescent="0.25">
      <c r="D21">
        <v>8</v>
      </c>
      <c r="E21">
        <f t="shared" si="0"/>
        <v>8</v>
      </c>
      <c r="G21">
        <f t="shared" si="1"/>
        <v>2.4</v>
      </c>
      <c r="H21">
        <f t="shared" si="2"/>
        <v>9.0717953289412512E-2</v>
      </c>
      <c r="I21">
        <f t="shared" si="3"/>
        <v>4.5358976644706255</v>
      </c>
    </row>
    <row r="22" spans="4:9" x14ac:dyDescent="0.25">
      <c r="D22">
        <v>9</v>
      </c>
      <c r="E22">
        <f t="shared" si="0"/>
        <v>9</v>
      </c>
      <c r="G22">
        <f t="shared" si="1"/>
        <v>2.6999999999999997</v>
      </c>
      <c r="H22">
        <f t="shared" si="2"/>
        <v>6.7205512739749784E-2</v>
      </c>
      <c r="I22">
        <f t="shared" si="3"/>
        <v>3.3602756369874891</v>
      </c>
    </row>
    <row r="23" spans="4:9" x14ac:dyDescent="0.25">
      <c r="D23">
        <v>10</v>
      </c>
      <c r="E23">
        <f t="shared" si="0"/>
        <v>10</v>
      </c>
      <c r="G23">
        <f t="shared" si="1"/>
        <v>3</v>
      </c>
      <c r="H23">
        <f t="shared" si="2"/>
        <v>4.9787068367863944E-2</v>
      </c>
      <c r="I23">
        <f t="shared" si="3"/>
        <v>2.4893534183931973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Krieg</dc:creator>
  <cp:lastModifiedBy>Alex Krieg</cp:lastModifiedBy>
  <dcterms:created xsi:type="dcterms:W3CDTF">2025-08-04T16:17:23Z</dcterms:created>
  <dcterms:modified xsi:type="dcterms:W3CDTF">2025-08-05T00:41:18Z</dcterms:modified>
</cp:coreProperties>
</file>